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\PycharmProjects\solar_bess\inputs\"/>
    </mc:Choice>
  </mc:AlternateContent>
  <xr:revisionPtr revIDLastSave="0" documentId="13_ncr:1_{2D9DB3F9-E39B-41A9-A457-F03FD87E782B}" xr6:coauthVersionLast="47" xr6:coauthVersionMax="47" xr10:uidLastSave="{00000000-0000-0000-0000-000000000000}"/>
  <bookViews>
    <workbookView xWindow="0" yWindow="360" windowWidth="19360" windowHeight="11440" xr2:uid="{B92BE577-E5A6-49BC-BFF6-C9C17C524DC8}"/>
  </bookViews>
  <sheets>
    <sheet name="battery_kwh" sheetId="2" r:id="rId1"/>
    <sheet name="Projected installs" sheetId="3" r:id="rId2"/>
    <sheet name="Sheet4" sheetId="4" r:id="rId3"/>
    <sheet name="pv_bess vs g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I3" i="5"/>
  <c r="F3" i="5" s="1"/>
  <c r="G3" i="5" s="1"/>
  <c r="I4" i="5"/>
  <c r="F4" i="5" s="1"/>
  <c r="G4" i="5" s="1"/>
  <c r="I5" i="5"/>
  <c r="F5" i="5" s="1"/>
  <c r="G5" i="5" s="1"/>
  <c r="I6" i="5"/>
  <c r="F6" i="5" s="1"/>
  <c r="G6" i="5" s="1"/>
  <c r="I7" i="5"/>
  <c r="F7" i="5" s="1"/>
  <c r="G7" i="5" s="1"/>
  <c r="I8" i="5"/>
  <c r="F8" i="5" s="1"/>
  <c r="G8" i="5" s="1"/>
  <c r="I9" i="5"/>
  <c r="F9" i="5" s="1"/>
  <c r="G9" i="5" s="1"/>
  <c r="I10" i="5"/>
  <c r="F10" i="5" s="1"/>
  <c r="G10" i="5" s="1"/>
  <c r="I11" i="5"/>
  <c r="F11" i="5" s="1"/>
  <c r="G11" i="5" s="1"/>
  <c r="I12" i="5"/>
  <c r="F12" i="5" s="1"/>
  <c r="G12" i="5" s="1"/>
  <c r="I13" i="5"/>
  <c r="F13" i="5" s="1"/>
  <c r="G13" i="5" s="1"/>
  <c r="I14" i="5"/>
  <c r="F14" i="5" s="1"/>
  <c r="G14" i="5" s="1"/>
  <c r="I15" i="5"/>
  <c r="F15" i="5" s="1"/>
  <c r="G15" i="5" s="1"/>
  <c r="I16" i="5"/>
  <c r="F16" i="5" s="1"/>
  <c r="G16" i="5" s="1"/>
  <c r="I17" i="5"/>
  <c r="F17" i="5" s="1"/>
  <c r="G17" i="5" s="1"/>
  <c r="I2" i="5"/>
  <c r="F2" i="5" s="1"/>
  <c r="G2" i="5" s="1"/>
  <c r="I1" i="5"/>
  <c r="J2" i="5"/>
  <c r="J4" i="3"/>
  <c r="J5" i="3"/>
  <c r="J3" i="3"/>
  <c r="I5" i="3"/>
  <c r="I4" i="3"/>
  <c r="I3" i="3"/>
  <c r="I2" i="3"/>
  <c r="K3" i="3" l="1"/>
  <c r="K4" i="3" s="1"/>
  <c r="K5" i="3" s="1"/>
  <c r="K6" i="3" s="1"/>
  <c r="K7" i="3" s="1"/>
  <c r="K8" i="3" s="1"/>
  <c r="K9" i="3" s="1"/>
  <c r="K10" i="3" s="1"/>
  <c r="K11" i="3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3" i="2"/>
  <c r="E7" i="2"/>
  <c r="E8" i="2"/>
  <c r="E9" i="2"/>
  <c r="E10" i="2"/>
  <c r="E11" i="2"/>
  <c r="E12" i="2"/>
  <c r="E13" i="2"/>
  <c r="E14" i="2"/>
  <c r="E15" i="2"/>
  <c r="E16" i="2"/>
  <c r="E17" i="2"/>
  <c r="E6" i="2"/>
  <c r="H7" i="2"/>
  <c r="H8" i="2"/>
  <c r="H9" i="2"/>
  <c r="H10" i="2"/>
  <c r="H11" i="2"/>
  <c r="H12" i="2"/>
  <c r="H13" i="2"/>
  <c r="H14" i="2"/>
  <c r="H15" i="2"/>
  <c r="H16" i="2"/>
  <c r="H17" i="2"/>
  <c r="H6" i="2"/>
</calcChain>
</file>

<file path=xl/sharedStrings.xml><?xml version="1.0" encoding="utf-8"?>
<sst xmlns="http://schemas.openxmlformats.org/spreadsheetml/2006/main" count="53" uniqueCount="52">
  <si>
    <t>Year</t>
  </si>
  <si>
    <t>Pack Price Actual ($/kWh)</t>
  </si>
  <si>
    <t>Cell Price Actual ($/kWh)</t>
  </si>
  <si>
    <t>Annual Installations (GWh)</t>
  </si>
  <si>
    <t>Cumulative Installations (GWh)</t>
  </si>
  <si>
    <t>Pack + cell</t>
  </si>
  <si>
    <t>Price ($/kWh)</t>
  </si>
  <si>
    <t>Cumulative Capacity (MWh)</t>
  </si>
  <si>
    <t>Cumulative GWh</t>
  </si>
  <si>
    <t>IRENA</t>
  </si>
  <si>
    <t>Bloomberg</t>
  </si>
  <si>
    <t>Other components</t>
  </si>
  <si>
    <t>Our World in Data</t>
  </si>
  <si>
    <t>Rystad</t>
  </si>
  <si>
    <t>https://www.rystadenergy.com/news/new-battery-storage-capacity-to-surpass-400-gwh-per-year-by-2030-10-times-current</t>
  </si>
  <si>
    <t>Mckinsey annual Low</t>
  </si>
  <si>
    <t>Mckinsey annual high</t>
  </si>
  <si>
    <t>Rystad cum</t>
  </si>
  <si>
    <t>Bloomberg 2022</t>
  </si>
  <si>
    <t>Bloomberg 2025</t>
  </si>
  <si>
    <t>https://about.bnef.com/insights/clean-energy/global-energy-storage-growth-upheld-by-new-markets/</t>
  </si>
  <si>
    <t>Bloomberg 2024</t>
  </si>
  <si>
    <t>Bloomberg 2024 - ES</t>
  </si>
  <si>
    <t>Bloomberg (2025) - ES</t>
  </si>
  <si>
    <t>bloomberg 2017 cum</t>
  </si>
  <si>
    <t>Bloomberg 2017</t>
  </si>
  <si>
    <t>https://www.pv-tech.org/bnef-predicts-305gwh-of-energy-storage-worldwide-by-2030/?utm_source=chatgpt.com</t>
  </si>
  <si>
    <t>https://about.bnef.com/insights/clean-energy/global-energy-storage-market-records-biggest-jump-yet/?utm_source=chatgpt.com</t>
  </si>
  <si>
    <t>McKinsey</t>
  </si>
  <si>
    <t>CAGR 29%</t>
  </si>
  <si>
    <t>https://www.mckinsey.com/~/media/mckinsey/industries/automotive%20and%20assembly/our%20insights/enabling%20renewable%20energy%20with%20battery%20energy%20storage%20systems/enabling-renewable-energy-with-battery-energy-storage-systems.pdf</t>
  </si>
  <si>
    <t>10 to 85</t>
  </si>
  <si>
    <t>Schmidt (2020) p107</t>
  </si>
  <si>
    <t>25 to 150</t>
  </si>
  <si>
    <t>Rho Motion</t>
  </si>
  <si>
    <t>https://www.energy-storage.news/global-bess-deployments-soared-53-in-2024/</t>
  </si>
  <si>
    <t>Rho Motion - utility scale</t>
  </si>
  <si>
    <t>Rystad annual (2023)</t>
  </si>
  <si>
    <t>Actual</t>
  </si>
  <si>
    <t>Growth</t>
  </si>
  <si>
    <t>PV</t>
  </si>
  <si>
    <t>BESS</t>
  </si>
  <si>
    <t>Gas</t>
  </si>
  <si>
    <t>Gas price (henry hub</t>
  </si>
  <si>
    <t>https://www.macrotrends.net/2478/natural-gas-prices-historical-chart</t>
  </si>
  <si>
    <t>Henry hub</t>
  </si>
  <si>
    <t>PV index</t>
  </si>
  <si>
    <t>Gas LCOE</t>
  </si>
  <si>
    <t>PV BESS LCOE</t>
  </si>
  <si>
    <t>gwh capacity</t>
  </si>
  <si>
    <t>$/kWh</t>
  </si>
  <si>
    <t>Bloomberg (2024 $/kWh)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</si>
</sst>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wrapText="1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9" fontId="0" fillId="0" borderId="0" xfId="1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  <xf numFmtId="0" fontId="4" fillId="0" borderId="0" xfId="2"/>
    <xf numFmtId="1" fontId="0" fillId="0" borderId="0" xfId="0" applyNumberFormat="1"/>
    <xf numFmtId="0" fontId="5" fillId="0" borderId="1" xfId="0" applyFont="1" applyBorder="1" applyAlignment="1">
      <alignment horizontal="right" wrapText="1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5DD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'pv_bess vs gas'!$B$1</c:f>
              <c:strCache>
                <c:ptCount val="1"/>
                <c:pt idx="0">
                  <c:v>PV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'pv_bess vs gas'!$A$2:$A$16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'pv_bess vs gas'!$D$2:$D$16</c:f>
              <c:numCache>
                <c:formatCode>0</c:formatCode>
                <c:ptCount val="15"/>
                <c:pt idx="0">
                  <c:v>99.999999999999986</c:v>
                </c:pt>
                <c:pt idx="1">
                  <c:v>88.187833731342451</c:v>
                </c:pt>
                <c:pt idx="2">
                  <c:v>66.961885285575462</c:v>
                </c:pt>
                <c:pt idx="3">
                  <c:v>58.822434102795505</c:v>
                </c:pt>
                <c:pt idx="4">
                  <c:v>53.940084658994337</c:v>
                </c:pt>
                <c:pt idx="5">
                  <c:v>40.518159611841533</c:v>
                </c:pt>
                <c:pt idx="6">
                  <c:v>37.074147346576545</c:v>
                </c:pt>
                <c:pt idx="7">
                  <c:v>31.864291177641206</c:v>
                </c:pt>
                <c:pt idx="8">
                  <c:v>27.231137328218129</c:v>
                </c:pt>
                <c:pt idx="9">
                  <c:v>22.493720080450835</c:v>
                </c:pt>
                <c:pt idx="10">
                  <c:v>19.759123484048246</c:v>
                </c:pt>
                <c:pt idx="11">
                  <c:v>18.414956160202927</c:v>
                </c:pt>
                <c:pt idx="12">
                  <c:v>17.599841549897544</c:v>
                </c:pt>
                <c:pt idx="13">
                  <c:v>14.684978029213077</c:v>
                </c:pt>
                <c:pt idx="14">
                  <c:v>13.078963198616202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9A-443A-8272-8DAC782A372C}"/>
            </c:ext>
          </c:extLst>
        </c:ser>
        <c:ser>
          <c:idx val="1"/>
          <c:order val="1"/>
          <c:tx>
            <c:strRef>
              <c:f>'pv_bess vs gas'!$C$1</c:f>
              <c:strCache>
                <c:ptCount val="1"/>
                <c:pt idx="0">
                  <c:v>BESS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'pv_bess vs gas'!$A$2:$A$16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'pv_bess vs gas'!$E$2:$E$16</c:f>
              <c:numCache>
                <c:formatCode>0</c:formatCode>
                <c:ptCount val="15"/>
                <c:pt idx="0">
                  <c:v>100</c:v>
                </c:pt>
                <c:pt idx="1">
                  <c:v>82.895566044553689</c:v>
                </c:pt>
                <c:pt idx="2">
                  <c:v>78.176746221315554</c:v>
                </c:pt>
                <c:pt idx="3">
                  <c:v>64.361102160617818</c:v>
                </c:pt>
                <c:pt idx="4">
                  <c:v>67.731553164547179</c:v>
                </c:pt>
                <c:pt idx="5">
                  <c:v>60.045690433500191</c:v>
                </c:pt>
                <c:pt idx="6">
                  <c:v>42.856444856034464</c:v>
                </c:pt>
                <c:pt idx="7">
                  <c:v>30.71073139029189</c:v>
                </c:pt>
                <c:pt idx="8">
                  <c:v>27.639661595456218</c:v>
                </c:pt>
                <c:pt idx="9">
                  <c:v>12.953404065741983</c:v>
                </c:pt>
                <c:pt idx="10">
                  <c:v>11.662214062312517</c:v>
                </c:pt>
                <c:pt idx="11">
                  <c:v>10.960523258948667</c:v>
                </c:pt>
                <c:pt idx="12">
                  <c:v>13.884613355192849</c:v>
                </c:pt>
                <c:pt idx="13">
                  <c:v>10.570372447069616</c:v>
                </c:pt>
                <c:pt idx="14">
                  <c:v>7.4507458094084145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9A-443A-8272-8DAC782A372C}"/>
            </c:ext>
          </c:extLst>
        </c:ser>
        <c:ser>
          <c:idx val="2"/>
          <c:order val="2"/>
          <c:tx>
            <c:strRef>
              <c:f>'pv_bess vs gas'!$F$1</c:f>
              <c:strCache>
                <c:ptCount val="1"/>
                <c:pt idx="0">
                  <c:v>Gas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'pv_bess vs gas'!$A$2:$A$16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'pv_bess vs gas'!$F$2:$F$16</c:f>
              <c:numCache>
                <c:formatCode>General</c:formatCode>
                <c:ptCount val="15"/>
                <c:pt idx="0">
                  <c:v>37.949594734042556</c:v>
                </c:pt>
                <c:pt idx="1">
                  <c:v>36.20187436930091</c:v>
                </c:pt>
                <c:pt idx="2">
                  <c:v>26.925025326747722</c:v>
                </c:pt>
                <c:pt idx="3">
                  <c:v>34.188196557750757</c:v>
                </c:pt>
                <c:pt idx="4">
                  <c:v>38.126899696048632</c:v>
                </c:pt>
                <c:pt idx="5">
                  <c:v>25.17730496200608</c:v>
                </c:pt>
                <c:pt idx="6">
                  <c:v>25.626899696048632</c:v>
                </c:pt>
                <c:pt idx="7">
                  <c:v>28.634751770516718</c:v>
                </c:pt>
                <c:pt idx="8">
                  <c:v>29.40729483282675</c:v>
                </c:pt>
                <c:pt idx="9">
                  <c:v>24.886018237082066</c:v>
                </c:pt>
                <c:pt idx="10">
                  <c:v>21.276595744680851</c:v>
                </c:pt>
                <c:pt idx="11">
                  <c:v>34.257852074468083</c:v>
                </c:pt>
                <c:pt idx="12">
                  <c:v>54.154002028875382</c:v>
                </c:pt>
                <c:pt idx="13">
                  <c:v>25.069655524316111</c:v>
                </c:pt>
                <c:pt idx="14">
                  <c:v>22.422745691489361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9A-443A-8272-8DAC782A372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130326128"/>
        <c:axId val="1130326608"/>
      </c:scatterChart>
      <c:valAx>
        <c:axId val="1130326128"/>
        <c:scaling>
          <c:orientation val="minMax"/>
          <c:max val="2026"/>
          <c:min val="201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30326608"/>
        <c:crosses val="autoZero"/>
        <c:crossBetween val="midCat"/>
      </c:valAx>
      <c:valAx>
        <c:axId val="11303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30326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PV BESS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elete val="1"/>
          </c:dLbls>
          <c:xVal>
            <c:numRef>
              <c:f>'pv_bess vs gas'!$A$2:$A$16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'pv_bess vs gas'!$L$2:$L$16</c:f>
              <c:numCache>
                <c:formatCode>General</c:formatCode>
                <c:ptCount val="15"/>
                <c:pt idx="0">
                  <c:v>591.74757594890195</c:v>
                </c:pt>
                <c:pt idx="1">
                  <c:v>501.23048253778302</c:v>
                </c:pt>
                <c:pt idx="2">
                  <c:v>439.93887819962703</c:v>
                </c:pt>
                <c:pt idx="3">
                  <c:v>369.65919943339799</c:v>
                </c:pt>
                <c:pt idx="4">
                  <c:v>372.92125443849301</c:v>
                </c:pt>
                <c:pt idx="5">
                  <c:v>315.84526574035402</c:v>
                </c:pt>
                <c:pt idx="6">
                  <c:v>241.91342979731999</c:v>
                </c:pt>
                <c:pt idx="7">
                  <c:v>184.06185572638</c:v>
                </c:pt>
                <c:pt idx="8">
                  <c:v>162.731221871348</c:v>
                </c:pt>
                <c:pt idx="9">
                  <c:v>95.936591861342293</c:v>
                </c:pt>
                <c:pt idx="10">
                  <c:v>85.378252408312903</c:v>
                </c:pt>
                <c:pt idx="11">
                  <c:v>79.927288984671193</c:v>
                </c:pt>
                <c:pt idx="12">
                  <c:v>89.671958612582102</c:v>
                </c:pt>
                <c:pt idx="13">
                  <c:v>70.867334166690299</c:v>
                </c:pt>
                <c:pt idx="14">
                  <c:v>55.466688406719399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6-49CD-8DEF-0441D4A82F44}"/>
            </c:ext>
          </c:extLst>
        </c:ser>
        <c:ser>
          <c:idx val="2"/>
          <c:order val="1"/>
          <c:tx>
            <c:strRef>
              <c:f>'pv_bess vs gas'!$F$1</c:f>
              <c:strCache>
                <c:ptCount val="1"/>
                <c:pt idx="0">
                  <c:v>Gas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'pv_bess vs gas'!$A$2:$A$17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xVal>
          <c:yVal>
            <c:numRef>
              <c:f>'pv_bess vs gas'!$K$2:$K$17</c:f>
              <c:numCache>
                <c:formatCode>General</c:formatCode>
                <c:ptCount val="16"/>
                <c:pt idx="0">
                  <c:v>59.97</c:v>
                </c:pt>
                <c:pt idx="1">
                  <c:v>58.22</c:v>
                </c:pt>
                <c:pt idx="2">
                  <c:v>48.95</c:v>
                </c:pt>
                <c:pt idx="3">
                  <c:v>56.21</c:v>
                </c:pt>
                <c:pt idx="4">
                  <c:v>60.15</c:v>
                </c:pt>
                <c:pt idx="5">
                  <c:v>47.2</c:v>
                </c:pt>
                <c:pt idx="6">
                  <c:v>47.65</c:v>
                </c:pt>
                <c:pt idx="7">
                  <c:v>50.65</c:v>
                </c:pt>
                <c:pt idx="8">
                  <c:v>51.43</c:v>
                </c:pt>
                <c:pt idx="9">
                  <c:v>46.91</c:v>
                </c:pt>
                <c:pt idx="10">
                  <c:v>43.3</c:v>
                </c:pt>
                <c:pt idx="11">
                  <c:v>56.28</c:v>
                </c:pt>
                <c:pt idx="12">
                  <c:v>76.17</c:v>
                </c:pt>
                <c:pt idx="13">
                  <c:v>47.09</c:v>
                </c:pt>
                <c:pt idx="14">
                  <c:v>44.44</c:v>
                </c:pt>
                <c:pt idx="15">
                  <c:v>51.99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76-49CD-8DEF-0441D4A82F44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130326128"/>
        <c:axId val="1130326608"/>
      </c:scatterChart>
      <c:valAx>
        <c:axId val="1130326128"/>
        <c:scaling>
          <c:orientation val="minMax"/>
          <c:max val="2025"/>
          <c:min val="201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30326608"/>
        <c:crosses val="autoZero"/>
        <c:crossBetween val="midCat"/>
        <c:majorUnit val="5"/>
      </c:valAx>
      <c:valAx>
        <c:axId val="1130326608"/>
        <c:scaling>
          <c:orientation val="minMax"/>
          <c:max val="3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30326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260349</xdr:colOff>
      <xdr:row>1</xdr:row>
      <xdr:rowOff>44450</xdr:rowOff>
    </xdr:from>
    <xdr:to>
      <xdr:col>24</xdr:col>
      <xdr:colOff>174624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DEB45-37C4-EC2C-C63E-BF5688940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158750</xdr:colOff>
      <xdr:row>1</xdr:row>
      <xdr:rowOff>50800</xdr:rowOff>
    </xdr:from>
    <xdr:to>
      <xdr:col>18</xdr:col>
      <xdr:colOff>73025</xdr:colOff>
      <xdr:row>16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651FA6-D245-44DD-9D6D-CFFB4D2C2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ystadenergy.com/news/new-battery-storage-capacity-to-surpass-400-gwh-per-year-by-2030-10-times-curre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9882-715C-4DF3-8312-C700D0A8AD40}">
  <dimension ref="A1:R27"/>
  <sheetViews>
    <sheetView tabSelected="1" workbookViewId="0">
      <selection activeCell="R3" sqref="R3"/>
    </sheetView>
  </sheetViews>
  <sheetFormatPr defaultRowHeight="14.5" x14ac:dyDescent="0.35"/>
  <cols>
    <col min="2" max="2" width="15.81640625" customWidth="1"/>
    <col min="3" max="3" width="14.453125" customWidth="1"/>
    <col min="4" max="4" width="3.81640625" customWidth="1"/>
    <col min="6" max="6" width="11.1796875" customWidth="1"/>
    <col min="10" max="10" width="10.7265625" customWidth="1"/>
  </cols>
  <sheetData>
    <row r="1" spans="1:18" x14ac:dyDescent="0.35">
      <c r="B1" s="16" t="s">
        <v>9</v>
      </c>
      <c r="C1" s="16"/>
      <c r="D1" s="10"/>
      <c r="E1" s="16" t="s">
        <v>10</v>
      </c>
      <c r="F1" s="16"/>
      <c r="G1" s="16"/>
      <c r="H1" s="16"/>
      <c r="I1" s="16"/>
      <c r="J1" s="16"/>
      <c r="L1" s="16" t="s">
        <v>12</v>
      </c>
      <c r="M1" s="16"/>
      <c r="N1" s="16"/>
      <c r="O1" s="16"/>
    </row>
    <row r="2" spans="1:18" ht="58" x14ac:dyDescent="0.35">
      <c r="A2" t="s">
        <v>0</v>
      </c>
      <c r="B2" s="4" t="s">
        <v>49</v>
      </c>
      <c r="C2" s="7" t="s">
        <v>50</v>
      </c>
      <c r="D2" s="7"/>
      <c r="E2" s="11" t="s">
        <v>5</v>
      </c>
      <c r="F2" s="11" t="s">
        <v>1</v>
      </c>
      <c r="G2" s="11" t="s">
        <v>2</v>
      </c>
      <c r="H2" s="11" t="s">
        <v>11</v>
      </c>
      <c r="I2" s="11" t="s">
        <v>3</v>
      </c>
      <c r="J2" s="11" t="s">
        <v>4</v>
      </c>
      <c r="L2" t="s">
        <v>0</v>
      </c>
      <c r="M2" t="s">
        <v>6</v>
      </c>
      <c r="N2" t="s">
        <v>7</v>
      </c>
      <c r="O2" t="s">
        <v>8</v>
      </c>
      <c r="R2" t="s">
        <v>51</v>
      </c>
    </row>
    <row r="3" spans="1:18" x14ac:dyDescent="0.35">
      <c r="A3" s="1">
        <v>2010</v>
      </c>
      <c r="B3" s="2">
        <v>8.6247999999999991E-2</v>
      </c>
      <c r="C3" s="5">
        <v>2571.3752125307969</v>
      </c>
      <c r="D3" s="5"/>
      <c r="L3">
        <v>1992</v>
      </c>
      <c r="M3" s="9">
        <v>6035</v>
      </c>
      <c r="N3">
        <v>1.55</v>
      </c>
      <c r="O3">
        <f>N3/1000</f>
        <v>1.5499999999999999E-3</v>
      </c>
    </row>
    <row r="4" spans="1:18" x14ac:dyDescent="0.35">
      <c r="A4" s="1">
        <v>2011</v>
      </c>
      <c r="B4" s="2">
        <v>8.4400499999999989E-2</v>
      </c>
      <c r="C4" s="5">
        <v>2131.5560375567497</v>
      </c>
      <c r="D4" s="5"/>
      <c r="L4">
        <v>1993</v>
      </c>
      <c r="M4" s="9">
        <v>4800</v>
      </c>
      <c r="N4">
        <v>3</v>
      </c>
      <c r="O4">
        <f t="shared" ref="O4:O27" si="0">N4/1000</f>
        <v>3.0000000000000001E-3</v>
      </c>
    </row>
    <row r="5" spans="1:18" x14ac:dyDescent="0.35">
      <c r="A5" s="1">
        <v>2012</v>
      </c>
      <c r="B5" s="2">
        <v>0.45505865000000012</v>
      </c>
      <c r="C5" s="5">
        <v>2010.2174742980148</v>
      </c>
      <c r="D5" s="5"/>
      <c r="L5">
        <v>1994</v>
      </c>
      <c r="M5" s="9">
        <v>5200</v>
      </c>
      <c r="N5">
        <v>5</v>
      </c>
      <c r="O5">
        <f t="shared" si="0"/>
        <v>5.0000000000000001E-3</v>
      </c>
    </row>
    <row r="6" spans="1:18" x14ac:dyDescent="0.35">
      <c r="A6" s="1">
        <v>2013</v>
      </c>
      <c r="B6" s="2">
        <v>0.33359759199999994</v>
      </c>
      <c r="C6" s="5">
        <v>1654.9654274697496</v>
      </c>
      <c r="D6" s="5"/>
      <c r="E6">
        <f t="shared" ref="E6:E17" si="1">F6+G6</f>
        <v>806</v>
      </c>
      <c r="F6">
        <v>253</v>
      </c>
      <c r="G6">
        <v>553</v>
      </c>
      <c r="H6" s="8">
        <f t="shared" ref="H6:H17" si="2">C6/(F6+G6)-1</f>
        <v>1.0533069819723941</v>
      </c>
      <c r="L6">
        <v>1995</v>
      </c>
      <c r="M6" s="9">
        <v>5000</v>
      </c>
      <c r="N6">
        <v>8</v>
      </c>
      <c r="O6">
        <f t="shared" si="0"/>
        <v>8.0000000000000002E-3</v>
      </c>
    </row>
    <row r="7" spans="1:18" x14ac:dyDescent="0.35">
      <c r="A7" s="1">
        <v>2014</v>
      </c>
      <c r="B7" s="2">
        <v>0.53312477759999999</v>
      </c>
      <c r="C7" s="5">
        <v>1741.6323691352845</v>
      </c>
      <c r="D7" s="5"/>
      <c r="E7">
        <f t="shared" si="1"/>
        <v>715</v>
      </c>
      <c r="F7">
        <v>230</v>
      </c>
      <c r="G7">
        <v>485</v>
      </c>
      <c r="H7" s="8">
        <f t="shared" si="2"/>
        <v>1.4358494673220763</v>
      </c>
      <c r="L7">
        <v>1996</v>
      </c>
      <c r="M7" s="9">
        <v>4200</v>
      </c>
      <c r="N7">
        <v>15</v>
      </c>
      <c r="O7">
        <f t="shared" si="0"/>
        <v>1.4999999999999999E-2</v>
      </c>
    </row>
    <row r="8" spans="1:18" x14ac:dyDescent="0.35">
      <c r="A8" s="1">
        <v>2015</v>
      </c>
      <c r="B8" s="2">
        <v>1.6006140019999999</v>
      </c>
      <c r="C8" s="5">
        <v>1544</v>
      </c>
      <c r="D8" s="5"/>
      <c r="E8">
        <f t="shared" si="1"/>
        <v>463</v>
      </c>
      <c r="F8">
        <v>153</v>
      </c>
      <c r="G8">
        <v>310</v>
      </c>
      <c r="H8" s="8">
        <f t="shared" si="2"/>
        <v>2.3347732181425487</v>
      </c>
      <c r="L8">
        <v>1997</v>
      </c>
      <c r="M8" s="9">
        <v>3200</v>
      </c>
      <c r="N8">
        <v>25</v>
      </c>
      <c r="O8">
        <f t="shared" si="0"/>
        <v>2.5000000000000001E-2</v>
      </c>
    </row>
    <row r="9" spans="1:18" x14ac:dyDescent="0.35">
      <c r="A9" s="1">
        <v>2016</v>
      </c>
      <c r="B9" s="2">
        <v>2.0824867240324001</v>
      </c>
      <c r="C9" s="5">
        <v>1102</v>
      </c>
      <c r="D9" s="5"/>
      <c r="E9">
        <f t="shared" si="1"/>
        <v>356</v>
      </c>
      <c r="F9">
        <v>97</v>
      </c>
      <c r="G9">
        <v>259</v>
      </c>
      <c r="H9" s="8">
        <f t="shared" si="2"/>
        <v>2.095505617977528</v>
      </c>
      <c r="L9">
        <v>1998</v>
      </c>
      <c r="M9" s="9">
        <v>2800</v>
      </c>
      <c r="N9">
        <v>40</v>
      </c>
      <c r="O9">
        <f t="shared" si="0"/>
        <v>0.04</v>
      </c>
      <c r="Q9">
        <v>2017</v>
      </c>
      <c r="R9" s="14">
        <v>614</v>
      </c>
    </row>
    <row r="10" spans="1:18" x14ac:dyDescent="0.35">
      <c r="A10" s="1">
        <v>2017</v>
      </c>
      <c r="B10" s="2">
        <v>2.9586932122532046</v>
      </c>
      <c r="C10" s="5">
        <v>789.6881345568803</v>
      </c>
      <c r="D10" s="5"/>
      <c r="E10">
        <f t="shared" si="1"/>
        <v>266</v>
      </c>
      <c r="F10">
        <v>79</v>
      </c>
      <c r="G10">
        <v>187</v>
      </c>
      <c r="H10" s="8">
        <f t="shared" si="2"/>
        <v>1.9687523855521816</v>
      </c>
      <c r="I10">
        <v>60</v>
      </c>
      <c r="J10">
        <v>60</v>
      </c>
      <c r="L10">
        <v>1999</v>
      </c>
      <c r="M10" s="9">
        <v>2400</v>
      </c>
      <c r="N10">
        <v>60</v>
      </c>
      <c r="O10">
        <f t="shared" si="0"/>
        <v>0.06</v>
      </c>
      <c r="Q10">
        <v>2018</v>
      </c>
      <c r="R10" s="14">
        <v>426</v>
      </c>
    </row>
    <row r="11" spans="1:18" x14ac:dyDescent="0.35">
      <c r="A11" s="1">
        <v>2018</v>
      </c>
      <c r="B11" s="2">
        <v>7.4796468051316554</v>
      </c>
      <c r="C11" s="5">
        <v>710.71940709295541</v>
      </c>
      <c r="D11" s="5"/>
      <c r="E11">
        <f t="shared" si="1"/>
        <v>218</v>
      </c>
      <c r="F11">
        <v>61</v>
      </c>
      <c r="G11">
        <v>157</v>
      </c>
      <c r="H11" s="8">
        <f t="shared" si="2"/>
        <v>2.2601807664814468</v>
      </c>
      <c r="I11">
        <v>120</v>
      </c>
      <c r="J11">
        <v>180</v>
      </c>
      <c r="L11">
        <v>2000</v>
      </c>
      <c r="M11" s="9">
        <v>2200</v>
      </c>
      <c r="N11">
        <v>100</v>
      </c>
      <c r="O11">
        <f t="shared" si="0"/>
        <v>0.1</v>
      </c>
      <c r="Q11">
        <v>2019</v>
      </c>
      <c r="R11" s="14">
        <v>375</v>
      </c>
    </row>
    <row r="12" spans="1:18" x14ac:dyDescent="0.35">
      <c r="A12" s="1">
        <v>2019</v>
      </c>
      <c r="B12" s="2">
        <v>6.9462370816461805</v>
      </c>
      <c r="C12" s="5">
        <v>333.0806213254458</v>
      </c>
      <c r="D12" s="5"/>
      <c r="E12">
        <f t="shared" si="1"/>
        <v>189</v>
      </c>
      <c r="F12">
        <v>57</v>
      </c>
      <c r="G12">
        <v>132</v>
      </c>
      <c r="H12" s="8">
        <f t="shared" si="2"/>
        <v>0.76233132976426354</v>
      </c>
      <c r="I12">
        <v>150</v>
      </c>
      <c r="J12">
        <v>270</v>
      </c>
      <c r="L12">
        <v>2001</v>
      </c>
      <c r="M12" s="9">
        <v>1600</v>
      </c>
      <c r="N12">
        <v>150</v>
      </c>
      <c r="O12">
        <f t="shared" si="0"/>
        <v>0.15</v>
      </c>
      <c r="Q12">
        <v>2020</v>
      </c>
      <c r="R12" s="14">
        <v>294</v>
      </c>
    </row>
    <row r="13" spans="1:18" x14ac:dyDescent="0.35">
      <c r="A13" s="1">
        <v>2020</v>
      </c>
      <c r="B13" s="2">
        <v>11.823204476146302</v>
      </c>
      <c r="C13" s="5">
        <v>299.87928163058496</v>
      </c>
      <c r="D13" s="5"/>
      <c r="E13">
        <f t="shared" si="1"/>
        <v>165</v>
      </c>
      <c r="F13">
        <v>42</v>
      </c>
      <c r="G13">
        <v>123</v>
      </c>
      <c r="H13" s="8">
        <f t="shared" si="2"/>
        <v>0.81745019170051481</v>
      </c>
      <c r="I13">
        <v>200</v>
      </c>
      <c r="J13">
        <v>350</v>
      </c>
      <c r="L13">
        <v>2002</v>
      </c>
      <c r="M13" s="9">
        <v>1100</v>
      </c>
      <c r="N13">
        <v>250</v>
      </c>
      <c r="O13">
        <f t="shared" si="0"/>
        <v>0.25</v>
      </c>
      <c r="Q13">
        <v>2021</v>
      </c>
      <c r="R13" s="14">
        <v>282</v>
      </c>
    </row>
    <row r="14" spans="1:18" x14ac:dyDescent="0.35">
      <c r="A14" s="1">
        <v>2021</v>
      </c>
      <c r="B14" s="2">
        <v>21.731501187554947</v>
      </c>
      <c r="C14" s="5">
        <v>281.83617824427876</v>
      </c>
      <c r="D14" s="5"/>
      <c r="E14">
        <f t="shared" si="1"/>
        <v>155</v>
      </c>
      <c r="F14">
        <v>36</v>
      </c>
      <c r="G14">
        <v>119</v>
      </c>
      <c r="H14" s="8">
        <f t="shared" si="2"/>
        <v>0.81829792415663705</v>
      </c>
      <c r="I14">
        <v>350</v>
      </c>
      <c r="J14">
        <v>550</v>
      </c>
      <c r="L14">
        <v>2003</v>
      </c>
      <c r="M14">
        <v>800</v>
      </c>
      <c r="N14">
        <v>400</v>
      </c>
      <c r="O14">
        <f t="shared" si="0"/>
        <v>0.4</v>
      </c>
      <c r="Q14">
        <v>2022</v>
      </c>
      <c r="R14" s="14">
        <v>356</v>
      </c>
    </row>
    <row r="15" spans="1:18" x14ac:dyDescent="0.35">
      <c r="A15" s="1">
        <v>2022</v>
      </c>
      <c r="B15" s="2">
        <v>37.551000674737843</v>
      </c>
      <c r="C15" s="5">
        <v>357.02550617116958</v>
      </c>
      <c r="D15" s="5"/>
      <c r="E15">
        <f t="shared" si="1"/>
        <v>166</v>
      </c>
      <c r="F15">
        <v>34</v>
      </c>
      <c r="G15">
        <v>132</v>
      </c>
      <c r="H15" s="8">
        <f t="shared" si="2"/>
        <v>1.1507560612721059</v>
      </c>
      <c r="I15">
        <v>630</v>
      </c>
      <c r="J15">
        <v>980</v>
      </c>
      <c r="L15">
        <v>2004</v>
      </c>
      <c r="M15">
        <v>700</v>
      </c>
      <c r="N15">
        <v>600</v>
      </c>
      <c r="O15">
        <f t="shared" si="0"/>
        <v>0.6</v>
      </c>
      <c r="Q15">
        <v>2023</v>
      </c>
      <c r="R15" s="14">
        <v>275</v>
      </c>
    </row>
    <row r="16" spans="1:18" x14ac:dyDescent="0.35">
      <c r="A16" s="1">
        <v>2023</v>
      </c>
      <c r="B16" s="2">
        <v>96.066014196472395</v>
      </c>
      <c r="C16" s="5">
        <v>271.80393697613312</v>
      </c>
      <c r="D16" s="5"/>
      <c r="E16">
        <f t="shared" si="1"/>
        <v>144</v>
      </c>
      <c r="F16">
        <v>33</v>
      </c>
      <c r="G16">
        <v>111</v>
      </c>
      <c r="H16" s="8">
        <f t="shared" si="2"/>
        <v>0.8875273401120356</v>
      </c>
      <c r="I16">
        <v>900</v>
      </c>
      <c r="J16">
        <v>1530</v>
      </c>
      <c r="L16">
        <v>2005</v>
      </c>
      <c r="M16">
        <v>600</v>
      </c>
      <c r="N16" s="9">
        <v>1000</v>
      </c>
      <c r="O16">
        <f t="shared" si="0"/>
        <v>1</v>
      </c>
      <c r="Q16">
        <v>2024</v>
      </c>
      <c r="R16" s="14">
        <v>165</v>
      </c>
    </row>
    <row r="17" spans="1:18" x14ac:dyDescent="0.35">
      <c r="A17" s="1">
        <v>2024</v>
      </c>
      <c r="B17" s="3">
        <v>169.00754102908382</v>
      </c>
      <c r="C17" s="6">
        <v>191.58663089180507</v>
      </c>
      <c r="D17" s="6"/>
      <c r="E17">
        <f t="shared" si="1"/>
        <v>115</v>
      </c>
      <c r="F17">
        <v>37</v>
      </c>
      <c r="G17">
        <v>78</v>
      </c>
      <c r="H17" s="8">
        <f t="shared" si="2"/>
        <v>0.6659707034070006</v>
      </c>
      <c r="I17">
        <v>1170</v>
      </c>
      <c r="J17">
        <v>2070</v>
      </c>
      <c r="L17">
        <v>2006</v>
      </c>
      <c r="M17">
        <v>550</v>
      </c>
      <c r="N17" s="9">
        <v>1500</v>
      </c>
      <c r="O17">
        <f t="shared" si="0"/>
        <v>1.5</v>
      </c>
      <c r="Q17">
        <v>2025</v>
      </c>
      <c r="R17" s="14">
        <v>113.9240506329114</v>
      </c>
    </row>
    <row r="18" spans="1:18" x14ac:dyDescent="0.35">
      <c r="L18">
        <v>2007</v>
      </c>
      <c r="M18">
        <v>520</v>
      </c>
      <c r="N18" s="9">
        <v>2200</v>
      </c>
      <c r="O18">
        <f t="shared" si="0"/>
        <v>2.2000000000000002</v>
      </c>
    </row>
    <row r="19" spans="1:18" x14ac:dyDescent="0.35">
      <c r="L19">
        <v>2008</v>
      </c>
      <c r="M19">
        <v>500</v>
      </c>
      <c r="N19" s="9">
        <v>3000</v>
      </c>
      <c r="O19">
        <f t="shared" si="0"/>
        <v>3</v>
      </c>
    </row>
    <row r="20" spans="1:18" x14ac:dyDescent="0.35">
      <c r="L20">
        <v>2009</v>
      </c>
      <c r="M20">
        <v>480</v>
      </c>
      <c r="N20" s="9">
        <v>4000</v>
      </c>
      <c r="O20">
        <f t="shared" si="0"/>
        <v>4</v>
      </c>
    </row>
    <row r="21" spans="1:18" x14ac:dyDescent="0.35">
      <c r="L21">
        <v>2010</v>
      </c>
      <c r="M21">
        <v>450</v>
      </c>
      <c r="N21" s="9">
        <v>5500</v>
      </c>
      <c r="O21">
        <f t="shared" si="0"/>
        <v>5.5</v>
      </c>
    </row>
    <row r="22" spans="1:18" x14ac:dyDescent="0.35">
      <c r="L22">
        <v>2011</v>
      </c>
      <c r="M22">
        <v>400</v>
      </c>
      <c r="N22" s="9">
        <v>8000</v>
      </c>
      <c r="O22">
        <f t="shared" si="0"/>
        <v>8</v>
      </c>
    </row>
    <row r="23" spans="1:18" x14ac:dyDescent="0.35">
      <c r="L23">
        <v>2012</v>
      </c>
      <c r="M23">
        <v>360</v>
      </c>
      <c r="N23" s="9">
        <v>12000</v>
      </c>
      <c r="O23">
        <f t="shared" si="0"/>
        <v>12</v>
      </c>
    </row>
    <row r="24" spans="1:18" x14ac:dyDescent="0.35">
      <c r="L24">
        <v>2013</v>
      </c>
      <c r="M24">
        <v>320</v>
      </c>
      <c r="N24" s="9">
        <v>18000</v>
      </c>
      <c r="O24">
        <f t="shared" si="0"/>
        <v>18</v>
      </c>
    </row>
    <row r="25" spans="1:18" x14ac:dyDescent="0.35">
      <c r="L25">
        <v>2014</v>
      </c>
      <c r="M25">
        <v>290</v>
      </c>
      <c r="N25" s="9">
        <v>28000</v>
      </c>
      <c r="O25">
        <f t="shared" si="0"/>
        <v>28</v>
      </c>
    </row>
    <row r="26" spans="1:18" x14ac:dyDescent="0.35">
      <c r="L26">
        <v>2015</v>
      </c>
      <c r="M26">
        <v>260</v>
      </c>
      <c r="N26" s="9">
        <v>45000</v>
      </c>
      <c r="O26">
        <f t="shared" si="0"/>
        <v>45</v>
      </c>
    </row>
    <row r="27" spans="1:18" x14ac:dyDescent="0.35">
      <c r="L27">
        <v>2016</v>
      </c>
      <c r="M27">
        <v>244</v>
      </c>
      <c r="N27" s="9">
        <v>78000</v>
      </c>
      <c r="O27">
        <f t="shared" si="0"/>
        <v>78</v>
      </c>
    </row>
  </sheetData>
  <mergeCells count="3">
    <mergeCell ref="B1:C1"/>
    <mergeCell ref="E1:J1"/>
    <mergeCell ref="L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2EAB-9A30-42AD-8329-E6B2455355C7}">
  <dimension ref="A1:M11"/>
  <sheetViews>
    <sheetView workbookViewId="0">
      <selection activeCell="H1" sqref="H1"/>
    </sheetView>
  </sheetViews>
  <sheetFormatPr defaultRowHeight="14.5" x14ac:dyDescent="0.35"/>
  <sheetData>
    <row r="1" spans="1:13" x14ac:dyDescent="0.35">
      <c r="B1" t="s">
        <v>37</v>
      </c>
      <c r="C1" t="s">
        <v>15</v>
      </c>
      <c r="D1" t="s">
        <v>16</v>
      </c>
      <c r="E1" t="s">
        <v>23</v>
      </c>
      <c r="F1" t="s">
        <v>22</v>
      </c>
      <c r="G1" t="s">
        <v>32</v>
      </c>
      <c r="H1" t="s">
        <v>36</v>
      </c>
      <c r="I1" t="s">
        <v>38</v>
      </c>
      <c r="J1" t="s">
        <v>39</v>
      </c>
      <c r="K1" t="s">
        <v>17</v>
      </c>
      <c r="L1" t="s">
        <v>18</v>
      </c>
      <c r="M1" t="s">
        <v>24</v>
      </c>
    </row>
    <row r="2" spans="1:13" x14ac:dyDescent="0.35">
      <c r="A2">
        <v>2021</v>
      </c>
      <c r="B2" s="12">
        <v>27</v>
      </c>
      <c r="I2">
        <f>B2</f>
        <v>27</v>
      </c>
    </row>
    <row r="3" spans="1:13" x14ac:dyDescent="0.35">
      <c r="A3">
        <v>2022</v>
      </c>
      <c r="B3" s="12">
        <v>43</v>
      </c>
      <c r="I3">
        <f>B3</f>
        <v>43</v>
      </c>
      <c r="J3" s="8">
        <f>I3/I2-1</f>
        <v>0.59259259259259256</v>
      </c>
      <c r="K3">
        <f>B3+B2</f>
        <v>70</v>
      </c>
    </row>
    <row r="4" spans="1:13" x14ac:dyDescent="0.35">
      <c r="A4">
        <v>2023</v>
      </c>
      <c r="B4">
        <v>74</v>
      </c>
      <c r="F4" s="12">
        <v>97</v>
      </c>
      <c r="H4" s="12">
        <v>96</v>
      </c>
      <c r="I4" s="12">
        <f>AVERAGE(F4,H4)</f>
        <v>96.5</v>
      </c>
      <c r="J4" s="8">
        <f t="shared" ref="J4:J5" si="0">I4/I3-1</f>
        <v>1.2441860465116279</v>
      </c>
      <c r="K4">
        <f>K3+B4</f>
        <v>144</v>
      </c>
    </row>
    <row r="5" spans="1:13" x14ac:dyDescent="0.35">
      <c r="A5">
        <v>2024</v>
      </c>
      <c r="B5">
        <v>96</v>
      </c>
      <c r="H5" s="12">
        <v>160</v>
      </c>
      <c r="I5" s="12">
        <f>H5</f>
        <v>160</v>
      </c>
      <c r="J5" s="8">
        <f t="shared" si="0"/>
        <v>0.65803108808290145</v>
      </c>
      <c r="K5">
        <f t="shared" ref="K5:K11" si="1">K4+B5</f>
        <v>240</v>
      </c>
    </row>
    <row r="6" spans="1:13" x14ac:dyDescent="0.35">
      <c r="A6">
        <v>2025</v>
      </c>
      <c r="B6">
        <v>134</v>
      </c>
      <c r="E6">
        <v>247</v>
      </c>
      <c r="G6" t="s">
        <v>31</v>
      </c>
      <c r="K6">
        <f t="shared" si="1"/>
        <v>374</v>
      </c>
    </row>
    <row r="7" spans="1:13" x14ac:dyDescent="0.35">
      <c r="A7">
        <v>2026</v>
      </c>
      <c r="B7">
        <v>170</v>
      </c>
      <c r="K7">
        <f t="shared" si="1"/>
        <v>544</v>
      </c>
    </row>
    <row r="8" spans="1:13" x14ac:dyDescent="0.35">
      <c r="A8">
        <v>2027</v>
      </c>
      <c r="B8">
        <v>233</v>
      </c>
      <c r="K8">
        <f t="shared" si="1"/>
        <v>777</v>
      </c>
    </row>
    <row r="9" spans="1:13" x14ac:dyDescent="0.35">
      <c r="A9">
        <v>2028</v>
      </c>
      <c r="B9">
        <v>287</v>
      </c>
      <c r="K9">
        <f t="shared" si="1"/>
        <v>1064</v>
      </c>
    </row>
    <row r="10" spans="1:13" x14ac:dyDescent="0.35">
      <c r="A10">
        <v>2029</v>
      </c>
      <c r="B10">
        <v>347</v>
      </c>
      <c r="K10">
        <f t="shared" si="1"/>
        <v>1411</v>
      </c>
    </row>
    <row r="11" spans="1:13" x14ac:dyDescent="0.35">
      <c r="A11">
        <v>2030</v>
      </c>
      <c r="B11">
        <v>421</v>
      </c>
      <c r="C11">
        <v>450</v>
      </c>
      <c r="D11">
        <v>620</v>
      </c>
      <c r="E11">
        <v>972</v>
      </c>
      <c r="F11">
        <v>442</v>
      </c>
      <c r="G11" t="s">
        <v>33</v>
      </c>
      <c r="K11">
        <f t="shared" si="1"/>
        <v>1832</v>
      </c>
      <c r="L11">
        <v>1194</v>
      </c>
      <c r="M11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1C4D-FA8B-4190-A10D-52FF3E486731}">
  <dimension ref="A2:C8"/>
  <sheetViews>
    <sheetView workbookViewId="0">
      <selection activeCell="B8" sqref="B8"/>
    </sheetView>
  </sheetViews>
  <sheetFormatPr defaultRowHeight="14.5" x14ac:dyDescent="0.35"/>
  <sheetData>
    <row r="2" spans="1:3" x14ac:dyDescent="0.35">
      <c r="A2" t="s">
        <v>13</v>
      </c>
      <c r="B2" s="13" t="s">
        <v>14</v>
      </c>
    </row>
    <row r="3" spans="1:3" x14ac:dyDescent="0.35">
      <c r="A3" t="s">
        <v>19</v>
      </c>
      <c r="B3" t="s">
        <v>20</v>
      </c>
    </row>
    <row r="4" spans="1:3" x14ac:dyDescent="0.35">
      <c r="A4" t="s">
        <v>25</v>
      </c>
      <c r="B4" t="s">
        <v>26</v>
      </c>
    </row>
    <row r="5" spans="1:3" x14ac:dyDescent="0.35">
      <c r="A5" t="s">
        <v>21</v>
      </c>
      <c r="B5" t="s">
        <v>27</v>
      </c>
    </row>
    <row r="6" spans="1:3" x14ac:dyDescent="0.35">
      <c r="A6" t="s">
        <v>28</v>
      </c>
      <c r="B6" t="s">
        <v>29</v>
      </c>
      <c r="C6" t="s">
        <v>30</v>
      </c>
    </row>
    <row r="7" spans="1:3" x14ac:dyDescent="0.35">
      <c r="A7" t="s">
        <v>34</v>
      </c>
      <c r="B7" t="s">
        <v>35</v>
      </c>
    </row>
    <row r="8" spans="1:3" x14ac:dyDescent="0.35">
      <c r="A8" t="s">
        <v>43</v>
      </c>
      <c r="B8" t="s">
        <v>44</v>
      </c>
    </row>
  </sheetData>
  <hyperlinks>
    <hyperlink ref="B2" r:id="rId1" xr:uid="{B41CC072-4B37-40D9-89E1-2599BF0208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A702-8F41-402E-B62D-B6BB7D878BDC}">
  <dimension ref="A1:L17"/>
  <sheetViews>
    <sheetView zoomScale="102" workbookViewId="0">
      <selection activeCell="Y21" sqref="Y21"/>
    </sheetView>
  </sheetViews>
  <sheetFormatPr defaultRowHeight="14.5" x14ac:dyDescent="0.35"/>
  <sheetData>
    <row r="1" spans="1:12" ht="15" thickBot="1" x14ac:dyDescent="0.4">
      <c r="B1" t="s">
        <v>40</v>
      </c>
      <c r="C1" t="s">
        <v>41</v>
      </c>
      <c r="D1" t="s">
        <v>46</v>
      </c>
      <c r="F1" t="s">
        <v>42</v>
      </c>
      <c r="H1" t="s">
        <v>45</v>
      </c>
      <c r="I1" t="str">
        <f>"+uplift"</f>
        <v>+uplift</v>
      </c>
      <c r="K1" t="s">
        <v>47</v>
      </c>
      <c r="L1" t="s">
        <v>48</v>
      </c>
    </row>
    <row r="2" spans="1:12" ht="15" thickBot="1" x14ac:dyDescent="0.4">
      <c r="A2" s="1">
        <v>2010</v>
      </c>
      <c r="B2" s="14">
        <v>5282.5052210943941</v>
      </c>
      <c r="C2" s="5">
        <v>2571.3752125307969</v>
      </c>
      <c r="D2" s="5">
        <f>100*B2/B$2</f>
        <v>99.999999999999986</v>
      </c>
      <c r="E2" s="5">
        <f>100*C2/C$2</f>
        <v>100</v>
      </c>
      <c r="F2">
        <f>I2/0.1316</f>
        <v>37.949594734042556</v>
      </c>
      <c r="G2">
        <f>F2/0.1316</f>
        <v>288.37078065381883</v>
      </c>
      <c r="H2">
        <v>4.244166667</v>
      </c>
      <c r="I2">
        <f>H2+0.75</f>
        <v>4.994166667</v>
      </c>
      <c r="J2">
        <f>H2/0.1316</f>
        <v>32.250506588145896</v>
      </c>
      <c r="K2" s="15">
        <v>59.97</v>
      </c>
      <c r="L2">
        <v>591.74757594890195</v>
      </c>
    </row>
    <row r="3" spans="1:12" ht="15" thickBot="1" x14ac:dyDescent="0.4">
      <c r="A3" s="1">
        <v>2011</v>
      </c>
      <c r="B3" s="14">
        <v>4658.5269212282083</v>
      </c>
      <c r="C3" s="5">
        <v>2131.5560375567497</v>
      </c>
      <c r="D3" s="5">
        <f t="shared" ref="D3:D16" si="0">100*B3/$B$2</f>
        <v>88.187833731342451</v>
      </c>
      <c r="E3" s="5">
        <f t="shared" ref="E3:E16" si="1">100*C3/C$2</f>
        <v>82.895566044553689</v>
      </c>
      <c r="F3">
        <f t="shared" ref="F3:F17" si="2">I3/0.1316</f>
        <v>36.20187436930091</v>
      </c>
      <c r="G3">
        <f t="shared" ref="G3:G17" si="3">F3/0.1316</f>
        <v>275.09023076976376</v>
      </c>
      <c r="H3">
        <v>4.0141666669999996</v>
      </c>
      <c r="I3">
        <f t="shared" ref="I3:I17" si="4">H3+0.75</f>
        <v>4.7641666669999996</v>
      </c>
      <c r="K3" s="15">
        <v>58.22</v>
      </c>
      <c r="L3">
        <v>501.23048253778302</v>
      </c>
    </row>
    <row r="4" spans="1:12" ht="15" thickBot="1" x14ac:dyDescent="0.4">
      <c r="A4" s="1">
        <v>2012</v>
      </c>
      <c r="B4" s="14">
        <v>3537.2650863537629</v>
      </c>
      <c r="C4" s="5">
        <v>2010.2174742980148</v>
      </c>
      <c r="D4" s="5">
        <f t="shared" si="0"/>
        <v>66.961885285575462</v>
      </c>
      <c r="E4" s="5">
        <f t="shared" si="1"/>
        <v>78.176746221315554</v>
      </c>
      <c r="F4">
        <f t="shared" si="2"/>
        <v>26.925025326747722</v>
      </c>
      <c r="G4">
        <f t="shared" si="3"/>
        <v>204.59745689018027</v>
      </c>
      <c r="H4">
        <v>2.7933333330000001</v>
      </c>
      <c r="I4">
        <f t="shared" si="4"/>
        <v>3.5433333330000001</v>
      </c>
      <c r="K4" s="15">
        <v>48.95</v>
      </c>
      <c r="L4">
        <v>439.93887819962703</v>
      </c>
    </row>
    <row r="5" spans="1:12" ht="15" thickBot="1" x14ac:dyDescent="0.4">
      <c r="A5" s="1">
        <v>2013</v>
      </c>
      <c r="B5" s="14">
        <v>3107.298152654982</v>
      </c>
      <c r="C5" s="5">
        <v>1654.9654274697496</v>
      </c>
      <c r="D5" s="5">
        <f t="shared" si="0"/>
        <v>58.822434102795505</v>
      </c>
      <c r="E5" s="5">
        <f t="shared" si="1"/>
        <v>64.361102160617818</v>
      </c>
      <c r="F5">
        <f t="shared" si="2"/>
        <v>34.188196557750757</v>
      </c>
      <c r="G5">
        <f t="shared" si="3"/>
        <v>259.78872764248297</v>
      </c>
      <c r="H5">
        <v>3.7491666669999999</v>
      </c>
      <c r="I5">
        <f t="shared" si="4"/>
        <v>4.4991666669999999</v>
      </c>
      <c r="K5" s="15">
        <v>56.21</v>
      </c>
      <c r="L5">
        <v>369.65919943339799</v>
      </c>
    </row>
    <row r="6" spans="1:12" ht="15" thickBot="1" x14ac:dyDescent="0.4">
      <c r="A6" s="1">
        <v>2014</v>
      </c>
      <c r="B6" s="14">
        <v>2849.387788374112</v>
      </c>
      <c r="C6" s="5">
        <v>1741.6323691352845</v>
      </c>
      <c r="D6" s="5">
        <f t="shared" si="0"/>
        <v>53.940084658994337</v>
      </c>
      <c r="E6" s="5">
        <f t="shared" si="1"/>
        <v>67.731553164547179</v>
      </c>
      <c r="F6">
        <f t="shared" si="2"/>
        <v>38.126899696048632</v>
      </c>
      <c r="G6">
        <f t="shared" si="3"/>
        <v>289.71808279672211</v>
      </c>
      <c r="H6">
        <v>4.2675000000000001</v>
      </c>
      <c r="I6">
        <f t="shared" si="4"/>
        <v>5.0175000000000001</v>
      </c>
      <c r="K6" s="15">
        <v>60.15</v>
      </c>
      <c r="L6">
        <v>372.92125443849301</v>
      </c>
    </row>
    <row r="7" spans="1:12" ht="15" thickBot="1" x14ac:dyDescent="0.4">
      <c r="A7" s="1">
        <v>2015</v>
      </c>
      <c r="B7" s="14">
        <v>2140.3738969868891</v>
      </c>
      <c r="C7" s="5">
        <v>1544</v>
      </c>
      <c r="D7" s="5">
        <f t="shared" si="0"/>
        <v>40.518159611841533</v>
      </c>
      <c r="E7" s="5">
        <f t="shared" si="1"/>
        <v>60.045690433500191</v>
      </c>
      <c r="F7">
        <f t="shared" si="2"/>
        <v>25.17730496200608</v>
      </c>
      <c r="G7">
        <f t="shared" si="3"/>
        <v>191.31690700612523</v>
      </c>
      <c r="H7">
        <v>2.5633333330000001</v>
      </c>
      <c r="I7">
        <f t="shared" si="4"/>
        <v>3.3133333330000001</v>
      </c>
      <c r="K7" s="15">
        <v>47.2</v>
      </c>
      <c r="L7">
        <v>315.84526574035402</v>
      </c>
    </row>
    <row r="8" spans="1:12" ht="15" thickBot="1" x14ac:dyDescent="0.4">
      <c r="A8" s="1">
        <v>2016</v>
      </c>
      <c r="B8" s="14">
        <v>1958.4437692591348</v>
      </c>
      <c r="C8" s="5">
        <v>1102</v>
      </c>
      <c r="D8" s="5">
        <f t="shared" si="0"/>
        <v>37.074147346576545</v>
      </c>
      <c r="E8" s="5">
        <f t="shared" si="1"/>
        <v>42.856444856034464</v>
      </c>
      <c r="F8">
        <f t="shared" si="2"/>
        <v>25.626899696048632</v>
      </c>
      <c r="G8">
        <f t="shared" si="3"/>
        <v>194.7332803651112</v>
      </c>
      <c r="H8">
        <v>2.6225000000000001</v>
      </c>
      <c r="I8">
        <f t="shared" si="4"/>
        <v>3.3725000000000001</v>
      </c>
      <c r="K8" s="15">
        <v>47.65</v>
      </c>
      <c r="L8">
        <v>241.91342979731999</v>
      </c>
    </row>
    <row r="9" spans="1:12" ht="15" thickBot="1" x14ac:dyDescent="0.4">
      <c r="A9" s="1">
        <v>2017</v>
      </c>
      <c r="B9" s="14">
        <v>1683.2328451236172</v>
      </c>
      <c r="C9" s="5">
        <v>789.6881345568803</v>
      </c>
      <c r="D9" s="5">
        <f t="shared" si="0"/>
        <v>31.864291177641206</v>
      </c>
      <c r="E9" s="5">
        <f t="shared" si="1"/>
        <v>30.71073139029189</v>
      </c>
      <c r="F9">
        <f t="shared" si="2"/>
        <v>28.634751770516718</v>
      </c>
      <c r="G9">
        <f t="shared" si="3"/>
        <v>217.58929916806019</v>
      </c>
      <c r="H9">
        <v>3.0183333330000002</v>
      </c>
      <c r="I9">
        <f t="shared" si="4"/>
        <v>3.7683333330000002</v>
      </c>
      <c r="K9" s="15">
        <v>50.65</v>
      </c>
      <c r="L9">
        <v>184.06185572638</v>
      </c>
    </row>
    <row r="10" spans="1:12" ht="15" thickBot="1" x14ac:dyDescent="0.4">
      <c r="A10" s="1">
        <v>2018</v>
      </c>
      <c r="B10" s="14">
        <v>1438.4862511265071</v>
      </c>
      <c r="C10" s="5">
        <v>710.71940709295541</v>
      </c>
      <c r="D10" s="5">
        <f t="shared" si="0"/>
        <v>27.231137328218129</v>
      </c>
      <c r="E10" s="5">
        <f t="shared" si="1"/>
        <v>27.639661595456218</v>
      </c>
      <c r="F10">
        <f t="shared" si="2"/>
        <v>29.40729483282675</v>
      </c>
      <c r="G10">
        <f t="shared" si="3"/>
        <v>223.4596871795346</v>
      </c>
      <c r="H10">
        <v>3.12</v>
      </c>
      <c r="I10">
        <f t="shared" si="4"/>
        <v>3.87</v>
      </c>
      <c r="K10" s="15">
        <v>51.43</v>
      </c>
      <c r="L10">
        <v>162.731221871348</v>
      </c>
    </row>
    <row r="11" spans="1:12" ht="15" thickBot="1" x14ac:dyDescent="0.4">
      <c r="A11" s="1">
        <v>2019</v>
      </c>
      <c r="B11" s="14">
        <v>1188.2319376681735</v>
      </c>
      <c r="C11" s="5">
        <v>333.0806213254458</v>
      </c>
      <c r="D11" s="5">
        <f t="shared" si="0"/>
        <v>22.493720080450835</v>
      </c>
      <c r="E11" s="5">
        <f t="shared" si="1"/>
        <v>12.953404065741983</v>
      </c>
      <c r="F11">
        <f t="shared" si="2"/>
        <v>24.886018237082066</v>
      </c>
      <c r="G11">
        <f t="shared" si="3"/>
        <v>189.10348204469656</v>
      </c>
      <c r="H11">
        <v>2.5249999999999999</v>
      </c>
      <c r="I11">
        <f t="shared" si="4"/>
        <v>3.2749999999999999</v>
      </c>
      <c r="K11" s="15">
        <v>46.91</v>
      </c>
      <c r="L11">
        <v>95.936591861342293</v>
      </c>
    </row>
    <row r="12" spans="1:12" ht="15" thickBot="1" x14ac:dyDescent="0.4">
      <c r="A12" s="1">
        <v>2020</v>
      </c>
      <c r="B12" s="14">
        <v>1043.7767296873371</v>
      </c>
      <c r="C12" s="5">
        <v>299.87928163058496</v>
      </c>
      <c r="D12" s="5">
        <f t="shared" si="0"/>
        <v>19.759123484048246</v>
      </c>
      <c r="E12" s="5">
        <f t="shared" si="1"/>
        <v>11.662214062312517</v>
      </c>
      <c r="F12">
        <f t="shared" si="2"/>
        <v>21.276595744680851</v>
      </c>
      <c r="G12">
        <f t="shared" si="3"/>
        <v>161.6762594580612</v>
      </c>
      <c r="H12">
        <v>2.0499999999999998</v>
      </c>
      <c r="I12">
        <f t="shared" si="4"/>
        <v>2.8</v>
      </c>
      <c r="K12" s="15">
        <v>43.3</v>
      </c>
      <c r="L12">
        <v>85.378252408312903</v>
      </c>
    </row>
    <row r="13" spans="1:12" ht="15" thickBot="1" x14ac:dyDescent="0.4">
      <c r="A13" s="1">
        <v>2021</v>
      </c>
      <c r="B13" s="14">
        <v>972.7710206249634</v>
      </c>
      <c r="C13" s="5">
        <v>281.83617824427876</v>
      </c>
      <c r="D13" s="5">
        <f t="shared" si="0"/>
        <v>18.414956160202927</v>
      </c>
      <c r="E13" s="5">
        <f t="shared" si="1"/>
        <v>10.960523258948667</v>
      </c>
      <c r="F13">
        <f t="shared" si="2"/>
        <v>34.257852074468083</v>
      </c>
      <c r="G13">
        <f t="shared" si="3"/>
        <v>260.31802488197633</v>
      </c>
      <c r="H13">
        <v>3.7583333329999999</v>
      </c>
      <c r="I13">
        <f t="shared" si="4"/>
        <v>4.5083333329999995</v>
      </c>
      <c r="K13" s="15">
        <v>56.28</v>
      </c>
      <c r="L13">
        <v>79.927288984671193</v>
      </c>
    </row>
    <row r="14" spans="1:12" ht="15" thickBot="1" x14ac:dyDescent="0.4">
      <c r="A14" s="1">
        <v>2022</v>
      </c>
      <c r="B14" s="14">
        <v>929.71254877767831</v>
      </c>
      <c r="C14" s="5">
        <v>357.02550617116958</v>
      </c>
      <c r="D14" s="5">
        <f t="shared" si="0"/>
        <v>17.599841549897544</v>
      </c>
      <c r="E14" s="5">
        <f t="shared" si="1"/>
        <v>13.884613355192849</v>
      </c>
      <c r="F14">
        <f t="shared" si="2"/>
        <v>54.154002028875382</v>
      </c>
      <c r="G14">
        <f t="shared" si="3"/>
        <v>411.5045746875029</v>
      </c>
      <c r="H14">
        <v>6.3766666670000003</v>
      </c>
      <c r="I14">
        <f t="shared" si="4"/>
        <v>7.1266666670000003</v>
      </c>
      <c r="K14" s="15">
        <v>76.17</v>
      </c>
      <c r="L14">
        <v>89.671958612582102</v>
      </c>
    </row>
    <row r="15" spans="1:12" ht="15" thickBot="1" x14ac:dyDescent="0.4">
      <c r="A15" s="1">
        <v>2023</v>
      </c>
      <c r="B15" s="14">
        <v>775.73473110974544</v>
      </c>
      <c r="C15" s="5">
        <v>271.80393697613312</v>
      </c>
      <c r="D15" s="5">
        <f t="shared" si="0"/>
        <v>14.684978029213077</v>
      </c>
      <c r="E15" s="5">
        <f t="shared" si="1"/>
        <v>10.570372447069616</v>
      </c>
      <c r="F15">
        <f t="shared" si="2"/>
        <v>25.069655524316111</v>
      </c>
      <c r="G15">
        <f t="shared" si="3"/>
        <v>190.49890216045679</v>
      </c>
      <c r="H15">
        <v>2.5491666670000002</v>
      </c>
      <c r="I15">
        <f t="shared" si="4"/>
        <v>3.2991666670000002</v>
      </c>
      <c r="K15" s="15">
        <v>47.09</v>
      </c>
      <c r="L15">
        <v>70.867334166690299</v>
      </c>
    </row>
    <row r="16" spans="1:12" ht="15" thickBot="1" x14ac:dyDescent="0.4">
      <c r="A16" s="1">
        <v>2024</v>
      </c>
      <c r="B16" s="14">
        <v>690.8969138319153</v>
      </c>
      <c r="C16" s="6">
        <v>191.58663089180507</v>
      </c>
      <c r="D16" s="5">
        <f t="shared" si="0"/>
        <v>13.078963198616202</v>
      </c>
      <c r="E16" s="5">
        <f t="shared" si="1"/>
        <v>7.4507458094084145</v>
      </c>
      <c r="F16">
        <f t="shared" si="2"/>
        <v>22.422745691489361</v>
      </c>
      <c r="G16">
        <f t="shared" si="3"/>
        <v>170.3856055584298</v>
      </c>
      <c r="H16">
        <v>2.2008333329999998</v>
      </c>
      <c r="I16">
        <f t="shared" si="4"/>
        <v>2.9508333329999998</v>
      </c>
      <c r="K16" s="15">
        <v>44.44</v>
      </c>
      <c r="L16">
        <v>55.466688406719399</v>
      </c>
    </row>
    <row r="17" spans="1:11" ht="15" thickBot="1" x14ac:dyDescent="0.4">
      <c r="A17" s="1">
        <v>2025</v>
      </c>
      <c r="D17" s="5"/>
      <c r="E17" s="5"/>
      <c r="F17">
        <f t="shared" si="2"/>
        <v>29.981425197568392</v>
      </c>
      <c r="G17">
        <f t="shared" si="3"/>
        <v>227.82237992073246</v>
      </c>
      <c r="H17">
        <v>3.195555556</v>
      </c>
      <c r="I17">
        <f t="shared" si="4"/>
        <v>3.945555556</v>
      </c>
      <c r="K17" s="15">
        <v>51.99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battery_kwh</vt:lpstr>
      <vt:lpstr>Projected installs</vt:lpstr>
      <vt:lpstr>Sheet4</vt:lpstr>
      <vt:lpstr>pv_bess vs 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Winser</dc:creator>
  <cp:lastModifiedBy>Barnaby Winser</cp:lastModifiedBy>
  <dcterms:created xsi:type="dcterms:W3CDTF">2025-08-16T16:06:29Z</dcterms:created>
  <dcterms:modified xsi:type="dcterms:W3CDTF">2025-12-17T09:04:35Z</dcterms:modified>
</cp:coreProperties>
</file>